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EMPRESA" sheetId="2" state="visible" r:id="rId2"/>
    <sheet xmlns:r="http://schemas.openxmlformats.org/officeDocument/2006/relationships" name="SCOPE_1" sheetId="3" state="visible" r:id="rId3"/>
    <sheet xmlns:r="http://schemas.openxmlformats.org/officeDocument/2006/relationships" name="SCOPE_2" sheetId="4" state="visible" r:id="rId4"/>
    <sheet xmlns:r="http://schemas.openxmlformats.org/officeDocument/2006/relationships" name="SCOPE_3" sheetId="5" state="visible" r:id="rId5"/>
    <sheet xmlns:r="http://schemas.openxmlformats.org/officeDocument/2006/relationships" name="RESULTAD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2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1"/>
    </font>
    <font>
      <name val="Arial"/>
      <b val="1"/>
      <color rgb="00FFFFFF"/>
      <sz val="11"/>
    </font>
    <font>
      <name val="Arial"/>
      <b val="1"/>
      <color rgb="001A5C38"/>
      <sz val="10"/>
    </font>
    <font>
      <name val="Arial"/>
      <color rgb="00333333"/>
      <sz val="10"/>
    </font>
    <font>
      <name val="Arial"/>
      <b val="1"/>
      <color rgb="00FFFFFF"/>
      <sz val="14"/>
    </font>
    <font>
      <name val="Arial"/>
      <i val="1"/>
      <color rgb="00FFFFFF"/>
      <sz val="10"/>
    </font>
    <font>
      <name val="Arial"/>
      <b val="1"/>
      <color rgb="00FFFFFF"/>
      <sz val="12"/>
    </font>
    <font>
      <name val="Arial"/>
      <b val="1"/>
      <color rgb="001A5C38"/>
      <sz val="11"/>
    </font>
    <font>
      <name val="Arial"/>
      <color rgb="0000008B"/>
      <sz val="11"/>
    </font>
    <font>
      <name val="Arial"/>
      <i val="1"/>
      <color rgb="00555555"/>
      <sz val="10"/>
    </font>
    <font>
      <name val="Arial"/>
      <sz val="10"/>
    </font>
    <font>
      <name val="Arial"/>
      <i val="1"/>
      <color rgb="00777777"/>
      <sz val="10"/>
    </font>
    <font>
      <name val="Arial"/>
      <color rgb="00000000"/>
      <sz val="11"/>
    </font>
    <font>
      <name val="Arial"/>
      <b val="1"/>
      <color rgb="00FFFFFF"/>
      <sz val="13"/>
    </font>
    <font>
      <name val="Arial"/>
      <b val="1"/>
      <color rgb="001A5C38"/>
      <sz val="13"/>
    </font>
    <font>
      <name val="Arial"/>
      <i val="1"/>
      <color rgb="00555555"/>
      <sz val="9"/>
    </font>
    <font>
      <name val="Arial"/>
      <b val="1"/>
      <i val="1"/>
      <color rgb="00FFFFFF"/>
      <sz val="11"/>
    </font>
    <font>
      <name val="Arial"/>
      <b val="1"/>
      <color rgb="001B3A5C"/>
      <sz val="11"/>
    </font>
    <font>
      <name val="Arial"/>
      <b val="1"/>
      <color rgb="00000000"/>
      <sz val="11"/>
    </font>
    <font>
      <name val="Arial"/>
      <i val="1"/>
      <sz val="10"/>
    </font>
  </fonts>
  <fills count="13">
    <fill>
      <patternFill/>
    </fill>
    <fill>
      <patternFill patternType="gray125"/>
    </fill>
    <fill>
      <patternFill patternType="solid">
        <fgColor rgb="001A5C38"/>
      </patternFill>
    </fill>
    <fill>
      <patternFill patternType="solid">
        <fgColor rgb="002E7D52"/>
      </patternFill>
    </fill>
    <fill>
      <patternFill patternType="solid">
        <fgColor rgb="001B3A5C"/>
      </patternFill>
    </fill>
    <fill>
      <patternFill patternType="solid">
        <fgColor rgb="00E8F5EE"/>
      </patternFill>
    </fill>
    <fill>
      <patternFill patternType="solid">
        <fgColor rgb="00FFFFFF"/>
      </patternFill>
    </fill>
    <fill>
      <patternFill patternType="solid">
        <fgColor rgb="00FFFACD"/>
      </patternFill>
    </fill>
    <fill>
      <patternFill patternType="solid">
        <fgColor rgb="00EBF3FB"/>
      </patternFill>
    </fill>
    <fill>
      <patternFill patternType="solid">
        <fgColor rgb="00F5F5F5"/>
      </patternFill>
    </fill>
    <fill>
      <patternFill patternType="solid">
        <fgColor rgb="00FFF0DC"/>
      </patternFill>
    </fill>
    <fill>
      <patternFill patternType="solid">
        <fgColor rgb="002E5E8E"/>
      </patternFill>
    </fill>
    <fill>
      <patternFill patternType="solid">
        <fgColor rgb="008B3A3A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4" fillId="5" borderId="1" pivotButton="0" quotePrefix="0" xfId="0"/>
    <xf numFmtId="0" fontId="5" fillId="6" borderId="1" pivotButton="0" quotePrefix="0" xfId="0"/>
    <xf numFmtId="0" fontId="6" fillId="2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9" fillId="5" borderId="1" applyAlignment="1" pivotButton="0" quotePrefix="0" xfId="0">
      <alignment horizontal="left" vertical="center"/>
    </xf>
    <xf numFmtId="0" fontId="10" fillId="7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12" fillId="9" borderId="1" pivotButton="0" quotePrefix="0" xfId="0"/>
    <xf numFmtId="0" fontId="4" fillId="9" borderId="1" pivotButton="0" quotePrefix="0" xfId="0"/>
    <xf numFmtId="0" fontId="13" fillId="9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14" fillId="9" borderId="1" pivotButton="0" quotePrefix="0" xfId="0"/>
    <xf numFmtId="0" fontId="14" fillId="6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3" fillId="4" borderId="0" applyAlignment="1" pivotButton="0" quotePrefix="0" xfId="0">
      <alignment horizontal="right" vertical="center"/>
    </xf>
    <xf numFmtId="0" fontId="14" fillId="8" borderId="1" applyAlignment="1" pivotButton="0" quotePrefix="0" xfId="0">
      <alignment horizontal="center" vertical="center"/>
    </xf>
    <xf numFmtId="0" fontId="15" fillId="2" borderId="0" applyAlignment="1" pivotButton="0" quotePrefix="0" xfId="0">
      <alignment horizontal="right" vertical="center"/>
    </xf>
    <xf numFmtId="0" fontId="16" fillId="5" borderId="1" applyAlignment="1" pivotButton="0" quotePrefix="0" xfId="0">
      <alignment horizontal="center" vertical="center"/>
    </xf>
    <xf numFmtId="0" fontId="17" fillId="0" borderId="0" applyAlignment="1" pivotButton="0" quotePrefix="0" xfId="0">
      <alignment horizontal="left" vertical="center"/>
    </xf>
    <xf numFmtId="164" fontId="14" fillId="6" borderId="1" applyAlignment="1" pivotButton="0" quotePrefix="0" xfId="0">
      <alignment horizontal="center" vertical="center"/>
    </xf>
    <xf numFmtId="9" fontId="10" fillId="7" borderId="1" applyAlignment="1" pivotButton="0" quotePrefix="0" xfId="0">
      <alignment horizontal="center" vertical="center"/>
    </xf>
    <xf numFmtId="0" fontId="18" fillId="4" borderId="0" applyAlignment="1" pivotButton="0" quotePrefix="0" xfId="0">
      <alignment horizontal="center" vertical="center"/>
    </xf>
    <xf numFmtId="0" fontId="19" fillId="8" borderId="1" applyAlignment="1" pivotButton="0" quotePrefix="0" xfId="0">
      <alignment horizontal="center" vertical="center"/>
    </xf>
    <xf numFmtId="0" fontId="20" fillId="5" borderId="1" applyAlignment="1" pivotButton="0" quotePrefix="0" xfId="0">
      <alignment horizontal="center" vertical="center"/>
    </xf>
    <xf numFmtId="164" fontId="14" fillId="5" borderId="1" applyAlignment="1" pivotButton="0" quotePrefix="0" xfId="0">
      <alignment horizontal="center" vertical="center"/>
    </xf>
    <xf numFmtId="0" fontId="11" fillId="9" borderId="1" pivotButton="0" quotePrefix="0" xfId="0"/>
    <xf numFmtId="0" fontId="9" fillId="8" borderId="1" applyAlignment="1" pivotButton="0" quotePrefix="0" xfId="0">
      <alignment horizontal="left" vertical="center"/>
    </xf>
    <xf numFmtId="0" fontId="20" fillId="8" borderId="1" applyAlignment="1" pivotButton="0" quotePrefix="0" xfId="0">
      <alignment horizontal="center" vertical="center"/>
    </xf>
    <xf numFmtId="164" fontId="14" fillId="8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left" vertical="center"/>
    </xf>
    <xf numFmtId="0" fontId="20" fillId="10" borderId="1" applyAlignment="1" pivotButton="0" quotePrefix="0" xfId="0">
      <alignment horizontal="center" vertical="center"/>
    </xf>
    <xf numFmtId="164" fontId="14" fillId="10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right" vertical="center"/>
    </xf>
    <xf numFmtId="0" fontId="8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right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right" vertical="center"/>
    </xf>
    <xf numFmtId="0" fontId="3" fillId="12" borderId="1" applyAlignment="1" pivotButton="0" quotePrefix="0" xfId="0">
      <alignment horizontal="center" vertical="center"/>
    </xf>
    <xf numFmtId="4" fontId="9" fillId="5" borderId="1" applyAlignment="1" pivotButton="0" quotePrefix="0" xfId="0">
      <alignment horizontal="center" vertical="center"/>
    </xf>
    <xf numFmtId="0" fontId="21" fillId="9" borderId="1" pivotButton="0" quotePrefix="0" xfId="0"/>
    <xf numFmtId="164" fontId="9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</cols>
  <sheetData>
    <row r="1" ht="50" customHeight="1">
      <c r="A1" s="1" t="inlineStr">
        <is>
          <t>ESG DATA COLLECTION TEMPLATE</t>
        </is>
      </c>
    </row>
    <row r="2">
      <c r="A2" s="2" t="inlineStr">
        <is>
          <t>GHG Protocol — Scope 1, 2 &amp; 3  |  Completar en AZUL  |  No modificar celdas en NEGRO o VERDE</t>
        </is>
      </c>
    </row>
    <row r="3"/>
    <row r="4" ht="20" customHeight="1">
      <c r="A4" s="3" t="inlineStr">
        <is>
          <t>HOJAS</t>
        </is>
      </c>
    </row>
    <row r="5" ht="20" customHeight="1">
      <c r="A5" s="4" t="inlineStr">
        <is>
          <t>[EN] 1. EMPRESA</t>
        </is>
      </c>
      <c r="B5" s="5" t="inlineStr">
        <is>
          <t>[EN] Datos generales de la organización — completar primero</t>
        </is>
      </c>
    </row>
    <row r="6" ht="20" customHeight="1">
      <c r="A6" s="4" t="inlineStr">
        <is>
          <t>[EN] 2. SCOPE_1</t>
        </is>
      </c>
      <c r="B6" s="5" t="inlineStr">
        <is>
          <t>[EN] Emisiones directas: combustibles, flota, refrigerantes</t>
        </is>
      </c>
    </row>
    <row r="7" ht="20" customHeight="1">
      <c r="A7" s="4" t="inlineStr">
        <is>
          <t>[EN] 3. SCOPE_2</t>
        </is>
      </c>
      <c r="B7" s="5" t="inlineStr">
        <is>
          <t>[EN] Electricidad y energía comprada</t>
        </is>
      </c>
    </row>
    <row r="8" ht="20" customHeight="1">
      <c r="A8" s="4" t="inlineStr">
        <is>
          <t>[EN] 4. SCOPE_3</t>
        </is>
      </c>
      <c r="B8" s="5" t="inlineStr">
        <is>
          <t>[EN] Cadena de valor: proveedores, flete, viajes, commuting</t>
        </is>
      </c>
    </row>
    <row r="9" ht="20" customHeight="1">
      <c r="A9" s="4" t="inlineStr">
        <is>
          <t>[EN] 5. RESULTADOS</t>
        </is>
      </c>
      <c r="B9" s="5" t="inlineStr">
        <is>
          <t>[EN] Cálculos automáticos — NO modificar</t>
        </is>
      </c>
    </row>
    <row r="10" ht="20" customHeight="1">
      <c r="A10" s="4" t="inlineStr"/>
      <c r="B10" s="5" t="inlineStr"/>
    </row>
    <row r="11" ht="20" customHeight="1">
      <c r="A11" s="3" t="inlineStr">
        <is>
          <t>CONVENCIÓN DE COLORES</t>
        </is>
      </c>
    </row>
    <row r="12" ht="20" customHeight="1">
      <c r="A12" s="4" t="inlineStr">
        <is>
          <t>[EN] Celda AMARILLA</t>
        </is>
      </c>
      <c r="B12" s="5" t="inlineStr">
        <is>
          <t>[EN] Dato que vos completás — ingresá el número aquí</t>
        </is>
      </c>
    </row>
    <row r="13" ht="20" customHeight="1">
      <c r="A13" s="4" t="inlineStr">
        <is>
          <t>[EN] Texto AZUL</t>
        </is>
      </c>
      <c r="B13" s="5" t="inlineStr">
        <is>
          <t>[EN] Inputs que ingresan el usuario (vos)</t>
        </is>
      </c>
    </row>
    <row r="14" ht="20" customHeight="1">
      <c r="A14" s="4" t="inlineStr">
        <is>
          <t>[EN] Texto NEGRO</t>
        </is>
      </c>
      <c r="B14" s="5" t="inlineStr">
        <is>
          <t>[EN] Fórmulas calculadas automáticamente — no tocar</t>
        </is>
      </c>
    </row>
    <row r="15" ht="20" customHeight="1">
      <c r="A15" s="4" t="inlineStr">
        <is>
          <t>[EN] Texto VERDE</t>
        </is>
      </c>
      <c r="B15" s="5" t="inlineStr">
        <is>
          <t>[EN] Links a otras hojas — no tocar</t>
        </is>
      </c>
    </row>
    <row r="16" ht="20" customHeight="1">
      <c r="A16" s="4" t="inlineStr"/>
      <c r="B16" s="5" t="inlineStr"/>
    </row>
    <row r="17" ht="20" customHeight="1">
      <c r="A17" s="3" t="inlineStr">
        <is>
          <t>INSTRUCCIONES</t>
        </is>
      </c>
    </row>
    <row r="18" ht="20" customHeight="1">
      <c r="A18" s="4" t="inlineStr">
        <is>
          <t>[EN] Paso 1</t>
        </is>
      </c>
      <c r="B18" s="5" t="inlineStr">
        <is>
          <t>[EN] Completar hoja EMPRESA con los datos generales</t>
        </is>
      </c>
    </row>
    <row r="19" ht="20" customHeight="1">
      <c r="A19" s="4" t="inlineStr">
        <is>
          <t>[EN] Paso 2</t>
        </is>
      </c>
      <c r="B19" s="5" t="inlineStr">
        <is>
          <t>[EN] Completar SCOPE_1: consumos de combustible y refrigerantes del año</t>
        </is>
      </c>
    </row>
    <row r="20" ht="20" customHeight="1">
      <c r="A20" s="4" t="inlineStr">
        <is>
          <t>[EN] Paso 3</t>
        </is>
      </c>
      <c r="B20" s="5" t="inlineStr">
        <is>
          <t>[EN] Completar SCOPE_2: facturas de electricidad por sede</t>
        </is>
      </c>
    </row>
    <row r="21" ht="20" customHeight="1">
      <c r="A21" s="4" t="inlineStr">
        <is>
          <t>[EN] Paso 4</t>
        </is>
      </c>
      <c r="B21" s="5" t="inlineStr">
        <is>
          <t>[EN] Completar SCOPE_3: gastos proveedores, fletes, viajes y encuesta commuting</t>
        </is>
      </c>
    </row>
    <row r="22" ht="20" customHeight="1">
      <c r="A22" s="4" t="inlineStr">
        <is>
          <t>[EN] Paso 5</t>
        </is>
      </c>
      <c r="B22" s="5" t="inlineStr">
        <is>
          <t>[EN] Ver hoja RESULTADOS para el inventario GHG consolidado</t>
        </is>
      </c>
    </row>
    <row r="23" ht="20" customHeight="1">
      <c r="A23" s="4" t="inlineStr"/>
      <c r="B23" s="5" t="inlineStr"/>
    </row>
    <row r="24" ht="20" customHeight="1">
      <c r="A24" s="3" t="inlineStr">
        <is>
          <t>FUENTES</t>
        </is>
      </c>
    </row>
    <row r="25" ht="20" customHeight="1">
      <c r="A25" s="4" t="inlineStr">
        <is>
          <t>[EN] Factores combustible</t>
        </is>
      </c>
      <c r="B25" s="5" t="inlineStr">
        <is>
          <t>[EN] IPCC AR6 (2021) — kgCO2e por litro</t>
        </is>
      </c>
    </row>
    <row r="26" ht="20" customHeight="1">
      <c r="A26" s="4" t="inlineStr">
        <is>
          <t>[EN] Factores electricidad</t>
        </is>
      </c>
      <c r="B26" s="5" t="inlineStr">
        <is>
          <t>[EN] IEA Emissions Factors (2023) — kgCO2e por kWh</t>
        </is>
      </c>
    </row>
    <row r="27" ht="20" customHeight="1">
      <c r="A27" s="4" t="inlineStr">
        <is>
          <t>[EN] Factores Scope 3 Cat1</t>
        </is>
      </c>
      <c r="B27" s="5" t="inlineStr">
        <is>
          <t>[EN] EEIO adaptado a LatAm — kgCO2e por USD gastado</t>
        </is>
      </c>
    </row>
    <row r="28" ht="20" customHeight="1">
      <c r="A28" s="4" t="inlineStr">
        <is>
          <t>[EN] Factores transporte</t>
        </is>
      </c>
      <c r="B28" s="5" t="inlineStr">
        <is>
          <t>[EN] GLEC Framework v3 — kgCO2e por tonelada-km</t>
        </is>
      </c>
    </row>
    <row r="29" ht="20" customHeight="1">
      <c r="A29" s="4" t="inlineStr">
        <is>
          <t>[EN] Factores viajes</t>
        </is>
      </c>
      <c r="B29" s="5" t="inlineStr">
        <is>
          <t>[EN] DEFRA 2023 — kgCO2e por pasajero-km</t>
        </is>
      </c>
    </row>
  </sheetData>
  <mergeCells count="6">
    <mergeCell ref="A4:B4"/>
    <mergeCell ref="A24:B24"/>
    <mergeCell ref="A2:B2"/>
    <mergeCell ref="A11:B11"/>
    <mergeCell ref="A1:B1"/>
    <mergeCell ref="A17:B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40" customWidth="1" min="3" max="3"/>
  </cols>
  <sheetData>
    <row r="1" ht="35" customHeight="1">
      <c r="A1" s="6" t="inlineStr">
        <is>
          <t>DATOS GENERALES DE LA EMPRESA</t>
        </is>
      </c>
    </row>
    <row r="2">
      <c r="A2" s="7" t="inlineStr">
        <is>
          <t>Completar todas las celdas en AMARILLO</t>
        </is>
      </c>
    </row>
    <row r="3" ht="22" customHeight="1">
      <c r="A3" s="8" t="inlineStr">
        <is>
          <t>IDENTIFICACIÓN</t>
        </is>
      </c>
      <c r="B3" s="9" t="n"/>
      <c r="C3" s="10" t="n"/>
    </row>
    <row r="4" ht="22" customHeight="1">
      <c r="A4" s="11" t="inlineStr">
        <is>
          <t>[EN] Nombre legal de la empresa</t>
        </is>
      </c>
      <c r="B4" s="12" t="inlineStr"/>
      <c r="C4" s="13" t="inlineStr">
        <is>
          <t>[EN] Razón social completa</t>
        </is>
      </c>
    </row>
    <row r="5" ht="22" customHeight="1">
      <c r="A5" s="11" t="inlineStr">
        <is>
          <t>[EN] País principal de operación</t>
        </is>
      </c>
      <c r="B5" s="12" t="inlineStr"/>
      <c r="C5" s="13" t="inlineStr">
        <is>
          <t>[EN] Argentina / Chile / Peru / Brasil / Mexico / Colombia</t>
        </is>
      </c>
    </row>
    <row r="6" ht="22" customHeight="1">
      <c r="A6" s="11" t="inlineStr">
        <is>
          <t>[EN] Año fiscal del reporte</t>
        </is>
      </c>
      <c r="B6" s="12" t="n">
        <v>2024</v>
      </c>
      <c r="C6" s="13" t="inlineStr">
        <is>
          <t>[EN] Ej: 2024</t>
        </is>
      </c>
    </row>
    <row r="7" ht="22" customHeight="1">
      <c r="A7" s="11" t="inlineStr">
        <is>
          <t>[EN] Período (mes inicio)</t>
        </is>
      </c>
      <c r="B7" s="12" t="inlineStr">
        <is>
          <t>[EN] Enero</t>
        </is>
      </c>
      <c r="C7" s="13" t="inlineStr">
        <is>
          <t>[EN] Ej: Enero</t>
        </is>
      </c>
    </row>
    <row r="8" ht="22" customHeight="1">
      <c r="A8" s="11" t="inlineStr">
        <is>
          <t>[EN] Período (mes fin)</t>
        </is>
      </c>
      <c r="B8" s="12" t="inlineStr">
        <is>
          <t>[EN] Diciembre</t>
        </is>
      </c>
      <c r="C8" s="13" t="inlineStr">
        <is>
          <t>[EN] Ej: Diciembre</t>
        </is>
      </c>
    </row>
    <row r="9" ht="22" customHeight="1">
      <c r="A9" s="8" t="inlineStr">
        <is>
          <t>TAMAÑO</t>
        </is>
      </c>
      <c r="B9" s="9" t="n"/>
      <c r="C9" s="10" t="n"/>
    </row>
    <row r="10" ht="22" customHeight="1">
      <c r="A10" s="11" t="inlineStr">
        <is>
          <t>[EN] Cantidad de empleados (promedio anual)</t>
        </is>
      </c>
      <c r="B10" s="12" t="inlineStr"/>
      <c r="C10" s="13" t="inlineStr">
        <is>
          <t>[EN] Número entero</t>
        </is>
      </c>
    </row>
    <row r="11" ht="22" customHeight="1">
      <c r="A11" s="11" t="inlineStr">
        <is>
          <t>[EN] Revenue anual (USD)</t>
        </is>
      </c>
      <c r="B11" s="12" t="inlineStr"/>
      <c r="C11" s="13" t="inlineStr">
        <is>
          <t>[EN] En dólares estadounidenses</t>
        </is>
      </c>
    </row>
    <row r="12" ht="22" customHeight="1">
      <c r="A12" s="11" t="inlineStr">
        <is>
          <t>[EN] Revenue anual (moneda local)</t>
        </is>
      </c>
      <c r="B12" s="12" t="inlineStr"/>
      <c r="C12" s="13" t="inlineStr">
        <is>
          <t>[EN] En moneda local</t>
        </is>
      </c>
    </row>
    <row r="13" ht="22" customHeight="1">
      <c r="A13" s="11" t="inlineStr">
        <is>
          <t>[EN] Número de sedes / instalaciones</t>
        </is>
      </c>
      <c r="B13" s="12" t="inlineStr"/>
      <c r="C13" s="13" t="inlineStr">
        <is>
          <t>[EN] Número entero</t>
        </is>
      </c>
    </row>
    <row r="14" ht="22" customHeight="1">
      <c r="A14" s="8" t="inlineStr">
        <is>
          <t>SECTOR</t>
        </is>
      </c>
      <c r="B14" s="9" t="n"/>
      <c r="C14" s="10" t="n"/>
    </row>
    <row r="15" ht="22" customHeight="1">
      <c r="A15" s="11" t="inlineStr">
        <is>
          <t>[EN] Sector principal</t>
        </is>
      </c>
      <c r="B15" s="12" t="inlineStr"/>
      <c r="C15" s="13" t="inlineStr">
        <is>
          <t>[EN] Manufactura / Retail / Servicios / Energía / Tecnología / Otro</t>
        </is>
      </c>
    </row>
    <row r="16" ht="22" customHeight="1">
      <c r="A16" s="11" t="inlineStr">
        <is>
          <t>[EN] Subsector</t>
        </is>
      </c>
      <c r="B16" s="12" t="inlineStr"/>
      <c r="C16" s="13" t="inlineStr">
        <is>
          <t>[EN] Descripción específica</t>
        </is>
      </c>
    </row>
    <row r="17" ht="22" customHeight="1">
      <c r="A17" s="11" t="inlineStr">
        <is>
          <t>[EN] ¿Tienen reporte ESG anterior?</t>
        </is>
      </c>
      <c r="B17" s="12" t="inlineStr"/>
      <c r="C17" s="13" t="inlineStr">
        <is>
          <t>[EN] Sí / No</t>
        </is>
      </c>
    </row>
    <row r="18" ht="22" customHeight="1">
      <c r="A18" s="11" t="inlineStr">
        <is>
          <t>[EN] Framework ESG anterior (si aplica)</t>
        </is>
      </c>
      <c r="B18" s="12" t="inlineStr"/>
      <c r="C18" s="13" t="inlineStr">
        <is>
          <t>[EN] GRI / TCFD / IFRS S1/S2 / Otro</t>
        </is>
      </c>
    </row>
    <row r="19" ht="22" customHeight="1">
      <c r="A19" s="8" t="inlineStr">
        <is>
          <t>CONTEXTO REGULATORIO</t>
        </is>
      </c>
      <c r="B19" s="9" t="n"/>
      <c r="C19" s="10" t="n"/>
    </row>
    <row r="20" ht="22" customHeight="1">
      <c r="A20" s="11" t="inlineStr">
        <is>
          <t>[EN] ¿Listados en bolsa?</t>
        </is>
      </c>
      <c r="B20" s="12" t="inlineStr"/>
      <c r="C20" s="13" t="inlineStr">
        <is>
          <t>[EN] Sí / No — indicar bolsa</t>
        </is>
      </c>
    </row>
    <row r="21" ht="22" customHeight="1">
      <c r="A21" s="11" t="inlineStr">
        <is>
          <t>[EN] ¿Inversores o bancos piden datos ESG?</t>
        </is>
      </c>
      <c r="B21" s="12" t="inlineStr"/>
      <c r="C21" s="13" t="inlineStr">
        <is>
          <t>[EN] Sí / No</t>
        </is>
      </c>
    </row>
    <row r="22" ht="22" customHeight="1">
      <c r="A22" s="11" t="inlineStr">
        <is>
          <t>[EN] ¿Sujetos a impuesto al carbono?</t>
        </is>
      </c>
      <c r="B22" s="12" t="inlineStr"/>
      <c r="C22" s="13" t="inlineStr">
        <is>
          <t>[EN] Sí / No</t>
        </is>
      </c>
    </row>
    <row r="23" ht="22" customHeight="1">
      <c r="A23" s="11" t="inlineStr">
        <is>
          <t>[EN] País(es) adicionales de operación</t>
        </is>
      </c>
      <c r="B23" s="12" t="inlineStr"/>
      <c r="C23" s="13" t="inlineStr">
        <is>
          <t>[EN] Separar con comas si hay varios</t>
        </is>
      </c>
    </row>
  </sheetData>
  <mergeCells count="6">
    <mergeCell ref="A19:C19"/>
    <mergeCell ref="A1:C1"/>
    <mergeCell ref="A14:C14"/>
    <mergeCell ref="A9:C9"/>
    <mergeCell ref="A3:C3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5" customWidth="1" min="3" max="3"/>
    <col width="15" customWidth="1" min="4" max="4"/>
    <col width="20" customWidth="1" min="5" max="5"/>
    <col width="20" customWidth="1" min="6" max="6"/>
    <col width="35" customWidth="1" min="7" max="7"/>
  </cols>
  <sheetData>
    <row r="1" ht="35" customHeight="1">
      <c r="A1" s="6" t="inlineStr">
        <is>
          <t>SCOPE 1 — EMISIONES DIRECTAS</t>
        </is>
      </c>
    </row>
    <row r="2">
      <c r="A2" s="8" t="inlineStr">
        <is>
          <t>FACTORES DE EMISIÓN UTILIZADOS (IPCC AR6)</t>
        </is>
      </c>
      <c r="B2" s="9" t="n"/>
      <c r="C2" s="9" t="n"/>
      <c r="D2" s="9" t="n"/>
      <c r="E2" s="9" t="n"/>
      <c r="F2" s="9" t="n"/>
      <c r="G2" s="10" t="n"/>
    </row>
    <row r="3">
      <c r="A3" s="14" t="inlineStr">
        <is>
          <t>[EN] Combustible</t>
        </is>
      </c>
      <c r="B3" s="14" t="inlineStr">
        <is>
          <t>[EN] Factor (kgCO2e/litro)</t>
        </is>
      </c>
      <c r="C3" s="14" t="inlineStr">
        <is>
          <t>[EN] Fuente</t>
        </is>
      </c>
    </row>
    <row r="4">
      <c r="A4" s="15" t="inlineStr">
        <is>
          <t>[EN] Gasoil / Diesel</t>
        </is>
      </c>
      <c r="B4" s="16" t="n">
        <v>2.68</v>
      </c>
      <c r="C4" s="17" t="inlineStr">
        <is>
          <t>[EN] IPCC AR6</t>
        </is>
      </c>
    </row>
    <row r="5">
      <c r="A5" s="15" t="inlineStr">
        <is>
          <t>[EN] Nafta / Gasolina</t>
        </is>
      </c>
      <c r="B5" s="16" t="n">
        <v>2.31</v>
      </c>
      <c r="C5" s="17" t="inlineStr">
        <is>
          <t>[EN] IPCC AR6</t>
        </is>
      </c>
    </row>
    <row r="6">
      <c r="A6" s="15" t="inlineStr">
        <is>
          <t>[EN] GLP / Propano</t>
        </is>
      </c>
      <c r="B6" s="16" t="n">
        <v>1.51</v>
      </c>
      <c r="C6" s="17" t="inlineStr">
        <is>
          <t>[EN] IPCC AR6</t>
        </is>
      </c>
    </row>
    <row r="7">
      <c r="A7" s="15" t="inlineStr">
        <is>
          <t>[EN] GNC (kgCO2e/m³)</t>
        </is>
      </c>
      <c r="B7" s="16" t="n">
        <v>2.02</v>
      </c>
      <c r="C7" s="17" t="inlineStr">
        <is>
          <t>[EN] IPCC AR6</t>
        </is>
      </c>
    </row>
    <row r="8">
      <c r="A8" s="15" t="inlineStr">
        <is>
          <t>[EN] Fuel Oil</t>
        </is>
      </c>
      <c r="B8" s="16" t="n">
        <v>3.17</v>
      </c>
      <c r="C8" s="17" t="inlineStr">
        <is>
          <t>[EN] IPCC AR6</t>
        </is>
      </c>
    </row>
    <row r="9"/>
    <row r="10">
      <c r="A10" s="8" t="inlineStr">
        <is>
          <t>A. CONSUMO DE COMBUSTIBLES — completar en litros (o m³ para GNC)</t>
        </is>
      </c>
      <c r="B10" s="9" t="n"/>
      <c r="C10" s="9" t="n"/>
      <c r="D10" s="9" t="n"/>
      <c r="E10" s="9" t="n"/>
      <c r="F10" s="9" t="n"/>
      <c r="G10" s="10" t="n"/>
    </row>
    <row r="11">
      <c r="A11" s="18" t="inlineStr">
        <is>
          <t>[EN] Fuente / Instalación</t>
        </is>
      </c>
      <c r="B11" s="18" t="inlineStr">
        <is>
          <t>[EN] Tipo combustible</t>
        </is>
      </c>
      <c r="C11" s="18" t="inlineStr">
        <is>
          <t>[EN] Consumo anual</t>
        </is>
      </c>
      <c r="D11" s="18" t="inlineStr">
        <is>
          <t>[EN] Unidad</t>
        </is>
      </c>
      <c r="E11" s="18" t="inlineStr">
        <is>
          <t>[EN] Factor kgCO2e/unidad</t>
        </is>
      </c>
      <c r="F11" s="18" t="inlineStr">
        <is>
          <t>[EN] tCO2e calculado</t>
        </is>
      </c>
      <c r="G11" s="18" t="inlineStr">
        <is>
          <t>[EN] Notas</t>
        </is>
      </c>
    </row>
    <row r="12">
      <c r="A12" s="11" t="inlineStr">
        <is>
          <t>[EN] Flota vehículos propios</t>
        </is>
      </c>
      <c r="B12" s="12" t="inlineStr">
        <is>
          <t>[EN] Gasoil</t>
        </is>
      </c>
      <c r="C12" s="12" t="inlineStr"/>
      <c r="D12" s="12" t="inlineStr">
        <is>
          <t>[EN] litros</t>
        </is>
      </c>
      <c r="E12" s="19" t="n">
        <v>2.68</v>
      </c>
      <c r="F12" s="20">
        <f>IF(C12="","",IF(ISNUMBER(C12),C12*E12/1000,""))</f>
        <v/>
      </c>
      <c r="G12" s="21" t="inlineStr"/>
    </row>
    <row r="13">
      <c r="A13" s="11" t="inlineStr">
        <is>
          <t>[EN] Generadores / emergencia</t>
        </is>
      </c>
      <c r="B13" s="12" t="inlineStr">
        <is>
          <t>[EN] Gasoil</t>
        </is>
      </c>
      <c r="C13" s="12" t="inlineStr"/>
      <c r="D13" s="12" t="inlineStr">
        <is>
          <t>[EN] litros</t>
        </is>
      </c>
      <c r="E13" s="19" t="n">
        <v>2.68</v>
      </c>
      <c r="F13" s="20">
        <f>IF(C13="","",IF(ISNUMBER(C13),C13*E13/1000,""))</f>
        <v/>
      </c>
      <c r="G13" s="21" t="inlineStr"/>
    </row>
    <row r="14">
      <c r="A14" s="11" t="inlineStr">
        <is>
          <t>[EN] Calderas / calefacción</t>
        </is>
      </c>
      <c r="B14" s="12" t="inlineStr">
        <is>
          <t>[EN] Gas Natural</t>
        </is>
      </c>
      <c r="C14" s="12" t="inlineStr"/>
      <c r="D14" s="12" t="inlineStr">
        <is>
          <t>[EN] m³</t>
        </is>
      </c>
      <c r="E14" s="19" t="n">
        <v>2.02</v>
      </c>
      <c r="F14" s="20">
        <f>IF(C14="","",IF(ISNUMBER(C14),C14*E14/1000,""))</f>
        <v/>
      </c>
      <c r="G14" s="21" t="inlineStr"/>
    </row>
    <row r="15">
      <c r="A15" s="11" t="inlineStr">
        <is>
          <t>[EN] Maquinaria de producción</t>
        </is>
      </c>
      <c r="B15" s="12" t="inlineStr">
        <is>
          <t>[EN] Gasoil</t>
        </is>
      </c>
      <c r="C15" s="12" t="inlineStr"/>
      <c r="D15" s="12" t="inlineStr">
        <is>
          <t>[EN] litros</t>
        </is>
      </c>
      <c r="E15" s="19" t="n">
        <v>2.68</v>
      </c>
      <c r="F15" s="20">
        <f>IF(C15="","",IF(ISNUMBER(C15),C15*E15/1000,""))</f>
        <v/>
      </c>
      <c r="G15" s="21" t="inlineStr"/>
    </row>
    <row r="16">
      <c r="A16" s="11" t="inlineStr">
        <is>
          <t>[EN] Vehículos livianos</t>
        </is>
      </c>
      <c r="B16" s="12" t="inlineStr">
        <is>
          <t>[EN] Nafta</t>
        </is>
      </c>
      <c r="C16" s="12" t="inlineStr"/>
      <c r="D16" s="12" t="inlineStr">
        <is>
          <t>[EN] litros</t>
        </is>
      </c>
      <c r="E16" s="19" t="n">
        <v>2.31</v>
      </c>
      <c r="F16" s="20">
        <f>IF(C16="","",IF(ISNUMBER(C16),C16*E16/1000,""))</f>
        <v/>
      </c>
      <c r="G16" s="21" t="inlineStr"/>
    </row>
    <row r="17">
      <c r="A17" s="11" t="inlineStr">
        <is>
          <t>[EN] Otro — especificar en Notas</t>
        </is>
      </c>
      <c r="B17" s="12" t="inlineStr"/>
      <c r="C17" s="12" t="inlineStr"/>
      <c r="D17" s="12" t="inlineStr">
        <is>
          <t>[EN] litros</t>
        </is>
      </c>
      <c r="E17" s="19" t="inlineStr"/>
      <c r="F17" s="20">
        <f>IF(C17="","",IF(AND(ISNUMBER(C17),ISNUMBER(E17)),C17*E17/1000,""))</f>
        <v/>
      </c>
      <c r="G17" s="21" t="inlineStr"/>
    </row>
    <row r="18">
      <c r="A18" s="22" t="inlineStr">
        <is>
          <t>TOTAL Scope 1 — Combustibles (tCO2e)</t>
        </is>
      </c>
      <c r="F18" s="23">
        <f>SUM(F12:F17)</f>
        <v/>
      </c>
    </row>
    <row r="19"/>
    <row r="20">
      <c r="A20" s="8" t="inlineStr">
        <is>
          <t>B. REFRIGERANTES (HFCs) — sistemas de aire acondicionado y refrigeración</t>
        </is>
      </c>
      <c r="B20" s="9" t="n"/>
      <c r="C20" s="9" t="n"/>
      <c r="D20" s="9" t="n"/>
      <c r="E20" s="9" t="n"/>
      <c r="F20" s="9" t="n"/>
      <c r="G20" s="10" t="n"/>
    </row>
    <row r="21">
      <c r="A21" s="18" t="inlineStr">
        <is>
          <t>[EN] Equipo / Sistema</t>
        </is>
      </c>
      <c r="B21" s="18" t="inlineStr">
        <is>
          <t>[EN] Tipo de gas</t>
        </is>
      </c>
      <c r="C21" s="18" t="inlineStr">
        <is>
          <t>[EN] Recarga anual (kg)</t>
        </is>
      </c>
      <c r="D21" s="18" t="inlineStr">
        <is>
          <t>[EN] GWP (CO2e/kg)</t>
        </is>
      </c>
      <c r="E21" s="18" t="inlineStr">
        <is>
          <t>[EN] Factor</t>
        </is>
      </c>
      <c r="F21" s="18" t="inlineStr">
        <is>
          <t>[EN] tCO2e</t>
        </is>
      </c>
      <c r="G21" s="18" t="inlineStr">
        <is>
          <t>[EN] Notas</t>
        </is>
      </c>
    </row>
    <row r="22">
      <c r="A22" s="11" t="inlineStr">
        <is>
          <t>[EN] Aire acondicionado oficinas</t>
        </is>
      </c>
      <c r="B22" s="12" t="inlineStr">
        <is>
          <t>[EN] R-410A</t>
        </is>
      </c>
      <c r="C22" s="12" t="inlineStr"/>
      <c r="D22" s="19" t="n">
        <v>2088</v>
      </c>
      <c r="E22" s="19" t="n">
        <v>2088</v>
      </c>
      <c r="F22" s="20">
        <f>IF(C22="","",IF(AND(ISNUMBER(C22),ISNUMBER(E22)),C22*E22/1000,""))</f>
        <v/>
      </c>
      <c r="G22" s="21" t="inlineStr"/>
    </row>
    <row r="23">
      <c r="A23" s="11" t="inlineStr">
        <is>
          <t>[EN] Cámaras frigoríficas</t>
        </is>
      </c>
      <c r="B23" s="12" t="inlineStr">
        <is>
          <t>[EN] R-134a</t>
        </is>
      </c>
      <c r="C23" s="12" t="inlineStr"/>
      <c r="D23" s="19" t="n">
        <v>1430</v>
      </c>
      <c r="E23" s="19" t="n">
        <v>1430</v>
      </c>
      <c r="F23" s="20">
        <f>IF(C23="","",IF(AND(ISNUMBER(C23),ISNUMBER(E23)),C23*E23/1000,""))</f>
        <v/>
      </c>
      <c r="G23" s="21" t="inlineStr"/>
    </row>
    <row r="24">
      <c r="A24" s="11" t="inlineStr">
        <is>
          <t>[EN] Equipos industriales</t>
        </is>
      </c>
      <c r="B24" s="12" t="inlineStr">
        <is>
          <t>[EN] R-404A</t>
        </is>
      </c>
      <c r="C24" s="12" t="inlineStr"/>
      <c r="D24" s="19" t="n">
        <v>3922</v>
      </c>
      <c r="E24" s="19" t="n">
        <v>3922</v>
      </c>
      <c r="F24" s="20">
        <f>IF(C24="","",IF(AND(ISNUMBER(C24),ISNUMBER(E24)),C24*E24/1000,""))</f>
        <v/>
      </c>
      <c r="G24" s="21" t="inlineStr"/>
    </row>
    <row r="25">
      <c r="A25" s="11" t="inlineStr">
        <is>
          <t>[EN] Otro refrigerante</t>
        </is>
      </c>
      <c r="B25" s="12" t="inlineStr"/>
      <c r="C25" s="12" t="inlineStr"/>
      <c r="D25" s="19" t="inlineStr"/>
      <c r="E25" s="19" t="inlineStr"/>
      <c r="F25" s="20">
        <f>IF(C25="","",IF(AND(ISNUMBER(C25),ISNUMBER(E25)),C25*E25/1000,""))</f>
        <v/>
      </c>
      <c r="G25" s="21" t="inlineStr"/>
    </row>
    <row r="26">
      <c r="A26" s="22" t="inlineStr">
        <is>
          <t>TOTAL Scope 1 — Refrigerantes (tCO2e)</t>
        </is>
      </c>
      <c r="F26" s="23">
        <f>SUM(F22:F25)</f>
        <v/>
      </c>
    </row>
    <row r="27"/>
    <row r="28">
      <c r="A28" s="24" t="inlineStr">
        <is>
          <t>TOTAL SCOPE 1 (tCO2e)</t>
        </is>
      </c>
      <c r="F28" s="25">
        <f>F18+F26</f>
        <v/>
      </c>
    </row>
  </sheetData>
  <mergeCells count="7">
    <mergeCell ref="A1:G1"/>
    <mergeCell ref="A26:E26"/>
    <mergeCell ref="A28:E28"/>
    <mergeCell ref="A20:G20"/>
    <mergeCell ref="A2:G2"/>
    <mergeCell ref="A18:E18"/>
    <mergeCell ref="A10:G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  <col width="22" customWidth="1" min="5" max="5"/>
    <col width="22" customWidth="1" min="6" max="6"/>
    <col width="30" customWidth="1" min="7" max="7"/>
  </cols>
  <sheetData>
    <row r="1" ht="35" customHeight="1">
      <c r="A1" s="6" t="inlineStr">
        <is>
          <t>SCOPE 2 — ELECTRICIDAD Y ENERGÍA COMPRADA</t>
        </is>
      </c>
    </row>
    <row r="2">
      <c r="A2" s="8" t="inlineStr">
        <is>
          <t>FACTORES DE RED ELÉCTRICA (IEA 2023) — kgCO2e por kWh</t>
        </is>
      </c>
      <c r="B2" s="9" t="n"/>
      <c r="C2" s="9" t="n"/>
      <c r="D2" s="9" t="n"/>
      <c r="E2" s="9" t="n"/>
      <c r="F2" s="9" t="n"/>
      <c r="G2" s="10" t="n"/>
    </row>
    <row r="3">
      <c r="A3" s="14" t="inlineStr">
        <is>
          <t>[EN] País</t>
        </is>
      </c>
      <c r="B3" s="14" t="inlineStr">
        <is>
          <t>[EN] Factor location-based</t>
        </is>
      </c>
      <c r="C3" s="14" t="inlineStr">
        <is>
          <t>[EN] Factor market-based*</t>
        </is>
      </c>
      <c r="D3" s="14" t="inlineStr">
        <is>
          <t>[EN] Notas</t>
        </is>
      </c>
    </row>
    <row r="4">
      <c r="A4" s="15" t="inlineStr">
        <is>
          <t>[EN] Argentina</t>
        </is>
      </c>
      <c r="B4" s="16" t="n">
        <v>0.321</v>
      </c>
      <c r="C4" s="15" t="n">
        <v>0.321</v>
      </c>
      <c r="D4" s="17" t="inlineStr">
        <is>
          <t>[EN] Red SADI</t>
        </is>
      </c>
    </row>
    <row r="5">
      <c r="A5" s="15" t="inlineStr">
        <is>
          <t>[EN] Chile</t>
        </is>
      </c>
      <c r="B5" s="16" t="n">
        <v>0.295</v>
      </c>
      <c r="C5" s="15" t="n">
        <v>0.295</v>
      </c>
      <c r="D5" s="17" t="inlineStr">
        <is>
          <t>[EN] Sistema SEN</t>
        </is>
      </c>
    </row>
    <row r="6">
      <c r="A6" s="15" t="inlineStr">
        <is>
          <t>[EN] Perú</t>
        </is>
      </c>
      <c r="B6" s="16" t="n">
        <v>0.247</v>
      </c>
      <c r="C6" s="15" t="n">
        <v>0.247</v>
      </c>
      <c r="D6" s="17" t="inlineStr">
        <is>
          <t>[EN] SEIN</t>
        </is>
      </c>
    </row>
    <row r="7">
      <c r="A7" s="15" t="inlineStr">
        <is>
          <t>[EN] Brasil</t>
        </is>
      </c>
      <c r="B7" s="16" t="n">
        <v>0.075</v>
      </c>
      <c r="C7" s="15" t="n">
        <v>0.075</v>
      </c>
      <c r="D7" s="17" t="inlineStr">
        <is>
          <t>[EN] SIN — alta renovable</t>
        </is>
      </c>
    </row>
    <row r="8">
      <c r="A8" s="15" t="inlineStr">
        <is>
          <t>[EN] Colombia</t>
        </is>
      </c>
      <c r="B8" s="16" t="n">
        <v>0.126</v>
      </c>
      <c r="C8" s="15" t="n">
        <v>0.126</v>
      </c>
      <c r="D8" s="17" t="inlineStr">
        <is>
          <t>[EN] SIN</t>
        </is>
      </c>
    </row>
    <row r="9">
      <c r="A9" s="15" t="inlineStr">
        <is>
          <t>[EN] México</t>
        </is>
      </c>
      <c r="B9" s="16" t="n">
        <v>0.454</v>
      </c>
      <c r="C9" s="15" t="n">
        <v>0.454</v>
      </c>
      <c r="D9" s="17" t="inlineStr">
        <is>
          <t>[EN] SEN</t>
        </is>
      </c>
    </row>
    <row r="10"/>
    <row r="11"/>
    <row r="12">
      <c r="A12" s="8" t="inlineStr">
        <is>
          <t>CONSUMO DE ELECTRICIDAD — una fila por sede/instalación</t>
        </is>
      </c>
      <c r="B12" s="9" t="n"/>
      <c r="C12" s="9" t="n"/>
      <c r="D12" s="9" t="n"/>
      <c r="E12" s="9" t="n"/>
      <c r="F12" s="9" t="n"/>
      <c r="G12" s="10" t="n"/>
    </row>
    <row r="13">
      <c r="A13" s="18" t="inlineStr">
        <is>
          <t>[EN] Sede / Instalación</t>
        </is>
      </c>
      <c r="B13" s="18" t="inlineStr">
        <is>
          <t>[EN] País</t>
        </is>
      </c>
      <c r="C13" s="18" t="inlineStr">
        <is>
          <t>[EN] Consumo anual (kWh)</t>
        </is>
      </c>
      <c r="D13" s="18" t="inlineStr">
        <is>
          <t>[EN] Factor kgCO2e/kWh</t>
        </is>
      </c>
      <c r="E13" s="18" t="inlineStr">
        <is>
          <t>[EN] ¿Energía renovable?</t>
        </is>
      </c>
      <c r="F13" s="18" t="inlineStr">
        <is>
          <t>[EN] tCO2e</t>
        </is>
      </c>
      <c r="G13" s="18" t="inlineStr">
        <is>
          <t>[EN] Fuente del dato</t>
        </is>
      </c>
    </row>
    <row r="14">
      <c r="A14" s="11" t="inlineStr">
        <is>
          <t>[EN] Casa central / oficina principal</t>
        </is>
      </c>
      <c r="B14" s="12" t="inlineStr">
        <is>
          <t>[EN] Argentina</t>
        </is>
      </c>
      <c r="C14" s="12" t="inlineStr"/>
      <c r="D14" s="19" t="n">
        <v>0.321</v>
      </c>
      <c r="E14" s="12" t="inlineStr">
        <is>
          <t>[EN] No</t>
        </is>
      </c>
      <c r="F14" s="20">
        <f>IF(C14="","",IF(AND(ISNUMBER(C14),ISNUMBER(D14)),IF(E14="Sí",0,C14*D14/1000),""))</f>
        <v/>
      </c>
      <c r="G14" s="21" t="inlineStr">
        <is>
          <t>[EN] Facturas eléctricas</t>
        </is>
      </c>
    </row>
    <row r="15">
      <c r="A15" s="11" t="inlineStr">
        <is>
          <t>[EN] Planta de producción</t>
        </is>
      </c>
      <c r="B15" s="12" t="inlineStr">
        <is>
          <t>[EN] Argentina</t>
        </is>
      </c>
      <c r="C15" s="12" t="inlineStr"/>
      <c r="D15" s="19" t="n">
        <v>0.321</v>
      </c>
      <c r="E15" s="12" t="inlineStr">
        <is>
          <t>[EN] No</t>
        </is>
      </c>
      <c r="F15" s="20">
        <f>IF(C15="","",IF(AND(ISNUMBER(C15),ISNUMBER(D15)),IF(E15="Sí",0,C15*D15/1000),""))</f>
        <v/>
      </c>
      <c r="G15" s="21" t="inlineStr">
        <is>
          <t>[EN] Facturas eléctricas</t>
        </is>
      </c>
    </row>
    <row r="16">
      <c r="A16" s="11" t="inlineStr">
        <is>
          <t>[EN] Depósito / logística</t>
        </is>
      </c>
      <c r="B16" s="12" t="inlineStr">
        <is>
          <t>[EN] Argentina</t>
        </is>
      </c>
      <c r="C16" s="12" t="inlineStr"/>
      <c r="D16" s="19" t="n">
        <v>0.321</v>
      </c>
      <c r="E16" s="12" t="inlineStr">
        <is>
          <t>[EN] No</t>
        </is>
      </c>
      <c r="F16" s="20">
        <f>IF(C16="","",IF(AND(ISNUMBER(C16),ISNUMBER(D16)),IF(E16="Sí",0,C16*D16/1000),""))</f>
        <v/>
      </c>
      <c r="G16" s="21" t="inlineStr">
        <is>
          <t>[EN] Facturas eléctricas</t>
        </is>
      </c>
    </row>
    <row r="17">
      <c r="A17" s="11" t="inlineStr">
        <is>
          <t>[EN] Sede Chile (si aplica)</t>
        </is>
      </c>
      <c r="B17" s="12" t="inlineStr">
        <is>
          <t>[EN] Chile</t>
        </is>
      </c>
      <c r="C17" s="12" t="inlineStr"/>
      <c r="D17" s="19" t="n">
        <v>0.295</v>
      </c>
      <c r="E17" s="12" t="inlineStr">
        <is>
          <t>[EN] No</t>
        </is>
      </c>
      <c r="F17" s="20">
        <f>IF(C17="","",IF(AND(ISNUMBER(C17),ISNUMBER(D17)),IF(E17="Sí",0,C17*D17/1000),""))</f>
        <v/>
      </c>
      <c r="G17" s="21" t="inlineStr">
        <is>
          <t>[EN] Facturas eléctricas</t>
        </is>
      </c>
    </row>
    <row r="18">
      <c r="A18" s="11" t="inlineStr">
        <is>
          <t>[EN] Sede Perú (si aplica)</t>
        </is>
      </c>
      <c r="B18" s="12" t="inlineStr">
        <is>
          <t>[EN] Perú</t>
        </is>
      </c>
      <c r="C18" s="12" t="inlineStr"/>
      <c r="D18" s="19" t="n">
        <v>0.247</v>
      </c>
      <c r="E18" s="12" t="inlineStr">
        <is>
          <t>[EN] No</t>
        </is>
      </c>
      <c r="F18" s="20">
        <f>IF(C18="","",IF(AND(ISNUMBER(C18),ISNUMBER(D18)),IF(E18="Sí",0,C18*D18/1000),""))</f>
        <v/>
      </c>
      <c r="G18" s="21" t="inlineStr">
        <is>
          <t>[EN] Facturas eléctricas</t>
        </is>
      </c>
    </row>
    <row r="19">
      <c r="A19" s="11" t="inlineStr">
        <is>
          <t>[EN] Otra sede — especificar</t>
        </is>
      </c>
      <c r="B19" s="12" t="inlineStr"/>
      <c r="C19" s="12" t="inlineStr"/>
      <c r="D19" s="19" t="inlineStr"/>
      <c r="E19" s="12" t="inlineStr"/>
      <c r="F19" s="20">
        <f>IF(C19="","",IF(AND(ISNUMBER(C19),ISNUMBER(D19)),IF(E19="Sí",0,C19*D19/1000),""))</f>
        <v/>
      </c>
      <c r="G19" s="21" t="inlineStr">
        <is>
          <t>[EN] Facturas eléctricas</t>
        </is>
      </c>
    </row>
    <row r="20">
      <c r="A20" s="11" t="inlineStr">
        <is>
          <t>[EN] Otra sede — especificar</t>
        </is>
      </c>
      <c r="B20" s="12" t="inlineStr"/>
      <c r="C20" s="12" t="inlineStr"/>
      <c r="D20" s="19" t="inlineStr"/>
      <c r="E20" s="12" t="inlineStr"/>
      <c r="F20" s="20">
        <f>IF(C20="","",IF(AND(ISNUMBER(C20),ISNUMBER(D20)),IF(E20="Sí",0,C20*D20/1000),""))</f>
        <v/>
      </c>
      <c r="G20" s="21" t="inlineStr">
        <is>
          <t>[EN] Facturas eléctricas</t>
        </is>
      </c>
    </row>
    <row r="21">
      <c r="A21" s="24" t="inlineStr">
        <is>
          <t>TOTAL SCOPE 2 (tCO2e)</t>
        </is>
      </c>
      <c r="F21" s="25">
        <f>SUM(F14:F20)</f>
        <v/>
      </c>
    </row>
    <row r="22">
      <c r="A22" s="26" t="inlineStr">
        <is>
          <t>* Si tienen certificados de energía renovable (RECs / i-RECs), el factor market-based puede ser 0. Indicar en columna E.</t>
        </is>
      </c>
    </row>
  </sheetData>
  <mergeCells count="5">
    <mergeCell ref="A21:E21"/>
    <mergeCell ref="A1:G1"/>
    <mergeCell ref="A22:G22"/>
    <mergeCell ref="A12:G12"/>
    <mergeCell ref="A2:G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8" customWidth="1" min="4" max="4"/>
    <col width="22" customWidth="1" min="5" max="5"/>
    <col width="20" customWidth="1" min="6" max="6"/>
    <col width="18" customWidth="1" min="7" max="7"/>
    <col width="30" customWidth="1" min="8" max="8"/>
  </cols>
  <sheetData>
    <row r="1" ht="35" customHeight="1">
      <c r="A1" s="6" t="inlineStr">
        <is>
          <t>SCOPE 3 — CADENA DE VALOR</t>
        </is>
      </c>
    </row>
    <row r="2">
      <c r="A2" s="8" t="inlineStr">
        <is>
          <t>CAT. 1 — BIENES Y SERVICIOS COMPRADOS (método spend-based)</t>
        </is>
      </c>
      <c r="B2" s="9" t="n"/>
      <c r="C2" s="9" t="n"/>
      <c r="D2" s="9" t="n"/>
      <c r="E2" s="9" t="n"/>
      <c r="F2" s="9" t="n"/>
      <c r="G2" s="9" t="n"/>
      <c r="H2" s="10" t="n"/>
    </row>
    <row r="3">
      <c r="A3" s="18" t="inlineStr">
        <is>
          <t>[EN] Categoría de proveedor</t>
        </is>
      </c>
      <c r="B3" s="18" t="inlineStr">
        <is>
          <t>[EN] Gasto anual (USD)</t>
        </is>
      </c>
      <c r="C3" s="18" t="inlineStr">
        <is>
          <t>[EN] Factor kgCO2e/USD</t>
        </is>
      </c>
      <c r="D3" s="18" t="inlineStr">
        <is>
          <t>[EN] tCO2e</t>
        </is>
      </c>
      <c r="E3" s="18" t="inlineStr">
        <is>
          <t>[EN] % del total de compras</t>
        </is>
      </c>
      <c r="F3" s="18" t="inlineStr">
        <is>
          <t>[EN] Top proveedor</t>
        </is>
      </c>
      <c r="G3" s="18" t="inlineStr">
        <is>
          <t>[EN] Gasto proveedor (USD)</t>
        </is>
      </c>
      <c r="H3" s="18" t="inlineStr">
        <is>
          <t>[EN] Notas</t>
        </is>
      </c>
    </row>
    <row r="4">
      <c r="A4" s="11" t="inlineStr">
        <is>
          <t>[EN] Manufactura / producción</t>
        </is>
      </c>
      <c r="B4" s="12" t="inlineStr"/>
      <c r="C4" s="19" t="n">
        <v>0.45</v>
      </c>
      <c r="D4" s="20">
        <f>IF(B4="","",IF(ISNUMBER(B4),B4*C4/1000,""))</f>
        <v/>
      </c>
      <c r="E4" s="27">
        <f>IF(B4="","",IF(SUM(B4:B12)&gt;0,B4/SUM(B4:B12),""))</f>
        <v/>
      </c>
      <c r="F4" s="21" t="inlineStr"/>
      <c r="G4" s="12" t="inlineStr"/>
      <c r="H4" s="21" t="inlineStr"/>
    </row>
    <row r="5">
      <c r="A5" s="11" t="inlineStr">
        <is>
          <t>[EN] Energía / utilities</t>
        </is>
      </c>
      <c r="B5" s="12" t="inlineStr"/>
      <c r="C5" s="19" t="n">
        <v>0.68</v>
      </c>
      <c r="D5" s="20">
        <f>IF(B5="","",IF(ISNUMBER(B5),B5*C5/1000,""))</f>
        <v/>
      </c>
      <c r="E5" s="27">
        <f>IF(B5="","",IF(SUM(B4:B12)&gt;0,B5/SUM(B4:B12),""))</f>
        <v/>
      </c>
      <c r="F5" s="21" t="inlineStr"/>
      <c r="G5" s="12" t="inlineStr"/>
      <c r="H5" s="21" t="inlineStr"/>
    </row>
    <row r="6">
      <c r="A6" s="11" t="inlineStr">
        <is>
          <t>[EN] Transporte / logística</t>
        </is>
      </c>
      <c r="B6" s="12" t="inlineStr"/>
      <c r="C6" s="19" t="n">
        <v>0.41</v>
      </c>
      <c r="D6" s="20">
        <f>IF(B6="","",IF(ISNUMBER(B6),B6*C6/1000,""))</f>
        <v/>
      </c>
      <c r="E6" s="27">
        <f>IF(B6="","",IF(SUM(B4:B12)&gt;0,B6/SUM(B4:B12),""))</f>
        <v/>
      </c>
      <c r="F6" s="21" t="inlineStr"/>
      <c r="G6" s="12" t="inlineStr"/>
      <c r="H6" s="21" t="inlineStr"/>
    </row>
    <row r="7">
      <c r="A7" s="11" t="inlineStr">
        <is>
          <t>[EN] Servicios profesionales</t>
        </is>
      </c>
      <c r="B7" s="12" t="inlineStr"/>
      <c r="C7" s="19" t="n">
        <v>0.18</v>
      </c>
      <c r="D7" s="20">
        <f>IF(B7="","",IF(ISNUMBER(B7),B7*C7/1000,""))</f>
        <v/>
      </c>
      <c r="E7" s="27">
        <f>IF(B7="","",IF(SUM(B4:B12)&gt;0,B7/SUM(B4:B12),""))</f>
        <v/>
      </c>
      <c r="F7" s="21" t="inlineStr"/>
      <c r="G7" s="12" t="inlineStr"/>
      <c r="H7" s="21" t="inlineStr"/>
    </row>
    <row r="8">
      <c r="A8" s="11" t="inlineStr">
        <is>
          <t>[EN] Tecnología / software</t>
        </is>
      </c>
      <c r="B8" s="12" t="inlineStr"/>
      <c r="C8" s="19" t="n">
        <v>0.22</v>
      </c>
      <c r="D8" s="20">
        <f>IF(B8="","",IF(ISNUMBER(B8),B8*C8/1000,""))</f>
        <v/>
      </c>
      <c r="E8" s="27">
        <f>IF(B8="","",IF(SUM(B4:B12)&gt;0,B8/SUM(B4:B12),""))</f>
        <v/>
      </c>
      <c r="F8" s="21" t="inlineStr"/>
      <c r="G8" s="12" t="inlineStr"/>
      <c r="H8" s="21" t="inlineStr"/>
    </row>
    <row r="9">
      <c r="A9" s="11" t="inlineStr">
        <is>
          <t>[EN] Construcción / infraestr.</t>
        </is>
      </c>
      <c r="B9" s="12" t="inlineStr"/>
      <c r="C9" s="19" t="n">
        <v>0.38</v>
      </c>
      <c r="D9" s="20">
        <f>IF(B9="","",IF(ISNUMBER(B9),B9*C9/1000,""))</f>
        <v/>
      </c>
      <c r="E9" s="27">
        <f>IF(B9="","",IF(SUM(B4:B12)&gt;0,B9/SUM(B4:B12),""))</f>
        <v/>
      </c>
      <c r="F9" s="21" t="inlineStr"/>
      <c r="G9" s="12" t="inlineStr"/>
      <c r="H9" s="21" t="inlineStr"/>
    </row>
    <row r="10">
      <c r="A10" s="11" t="inlineStr">
        <is>
          <t>[EN] Alimentos / insumos agro</t>
        </is>
      </c>
      <c r="B10" s="12" t="inlineStr"/>
      <c r="C10" s="19" t="n">
        <v>0.52</v>
      </c>
      <c r="D10" s="20">
        <f>IF(B10="","",IF(ISNUMBER(B10),B10*C10/1000,""))</f>
        <v/>
      </c>
      <c r="E10" s="27">
        <f>IF(B10="","",IF(SUM(B4:B12)&gt;0,B10/SUM(B4:B12),""))</f>
        <v/>
      </c>
      <c r="F10" s="21" t="inlineStr"/>
      <c r="G10" s="12" t="inlineStr"/>
      <c r="H10" s="21" t="inlineStr"/>
    </row>
    <row r="11">
      <c r="A11" s="11" t="inlineStr">
        <is>
          <t>[EN] Retail / packaging</t>
        </is>
      </c>
      <c r="B11" s="12" t="inlineStr"/>
      <c r="C11" s="19" t="n">
        <v>0.25</v>
      </c>
      <c r="D11" s="20">
        <f>IF(B11="","",IF(ISNUMBER(B11),B11*C11/1000,""))</f>
        <v/>
      </c>
      <c r="E11" s="27">
        <f>IF(B11="","",IF(SUM(B4:B12)&gt;0,B11/SUM(B4:B12),""))</f>
        <v/>
      </c>
      <c r="F11" s="21" t="inlineStr"/>
      <c r="G11" s="12" t="inlineStr"/>
      <c r="H11" s="21" t="inlineStr"/>
    </row>
    <row r="12">
      <c r="A12" s="11" t="inlineStr">
        <is>
          <t>[EN] Otro — especificar</t>
        </is>
      </c>
      <c r="B12" s="12" t="inlineStr"/>
      <c r="C12" s="19" t="n">
        <v>0.3</v>
      </c>
      <c r="D12" s="20">
        <f>IF(B12="","",IF(ISNUMBER(B12),B12*C12/1000,""))</f>
        <v/>
      </c>
      <c r="E12" s="27">
        <f>IF(B12="","",IF(SUM(B4:B12)&gt;0,B12/SUM(B4:B12),""))</f>
        <v/>
      </c>
      <c r="F12" s="21" t="inlineStr"/>
      <c r="G12" s="12" t="inlineStr"/>
      <c r="H12" s="21" t="inlineStr"/>
    </row>
    <row r="13">
      <c r="A13" s="22" t="inlineStr">
        <is>
          <t>TOTAL Cat. 1 (tCO2e)</t>
        </is>
      </c>
      <c r="D13" s="23">
        <f>SUM(D4:D12)</f>
        <v/>
      </c>
    </row>
    <row r="14"/>
    <row r="15">
      <c r="A15" s="8" t="inlineStr">
        <is>
          <t>CAT. 4 — TRANSPORTE UPSTREAM (fletes entrantes)</t>
        </is>
      </c>
      <c r="B15" s="9" t="n"/>
      <c r="C15" s="9" t="n"/>
      <c r="D15" s="9" t="n"/>
      <c r="E15" s="9" t="n"/>
      <c r="F15" s="9" t="n"/>
      <c r="G15" s="9" t="n"/>
      <c r="H15" s="10" t="n"/>
    </row>
    <row r="16">
      <c r="A16" s="18" t="inlineStr">
        <is>
          <t>[EN] Tramo / Proveedor</t>
        </is>
      </c>
      <c r="B16" s="18" t="inlineStr">
        <is>
          <t>[EN] Modo transporte</t>
        </is>
      </c>
      <c r="C16" s="18" t="inlineStr">
        <is>
          <t>[EN] Toneladas</t>
        </is>
      </c>
      <c r="D16" s="18" t="inlineStr">
        <is>
          <t>[EN] Km promedio</t>
        </is>
      </c>
      <c r="E16" s="18" t="inlineStr">
        <is>
          <t>[EN] Factor (kgCO2e/t-km)</t>
        </is>
      </c>
      <c r="F16" s="18" t="inlineStr">
        <is>
          <t>[EN] tCO2e</t>
        </is>
      </c>
      <c r="G16" s="18" t="inlineStr"/>
      <c r="H16" s="18" t="inlineStr">
        <is>
          <t>[EN] Notas</t>
        </is>
      </c>
    </row>
    <row r="17">
      <c r="A17" s="11" t="inlineStr">
        <is>
          <t>[EN] Proveedores locales (camión)</t>
        </is>
      </c>
      <c r="B17" s="12" t="inlineStr">
        <is>
          <t>[EN] Camión</t>
        </is>
      </c>
      <c r="C17" s="12" t="inlineStr"/>
      <c r="D17" s="12" t="inlineStr"/>
      <c r="E17" s="19" t="n">
        <v>0.062</v>
      </c>
      <c r="F17" s="20">
        <f>IF(OR(C17="",D17=""),"",IF(AND(ISNUMBER(C17),ISNUMBER(D17),ISNUMBER(E17)),C17*D17*E17/1000,""))</f>
        <v/>
      </c>
      <c r="H17" s="21" t="inlineStr"/>
    </row>
    <row r="18">
      <c r="A18" s="11" t="inlineStr">
        <is>
          <t>[EN] Importaciones (barco)</t>
        </is>
      </c>
      <c r="B18" s="12" t="inlineStr">
        <is>
          <t>[EN] Barco</t>
        </is>
      </c>
      <c r="C18" s="12" t="inlineStr"/>
      <c r="D18" s="12" t="inlineStr"/>
      <c r="E18" s="19" t="n">
        <v>0.008</v>
      </c>
      <c r="F18" s="20">
        <f>IF(OR(C18="",D18=""),"",IF(AND(ISNUMBER(C18),ISNUMBER(D18),ISNUMBER(E18)),C18*D18*E18/1000,""))</f>
        <v/>
      </c>
      <c r="H18" s="21" t="inlineStr"/>
    </row>
    <row r="19">
      <c r="A19" s="11" t="inlineStr">
        <is>
          <t>[EN] Importaciones (avión)</t>
        </is>
      </c>
      <c r="B19" s="12" t="inlineStr">
        <is>
          <t>[EN] Avión carga</t>
        </is>
      </c>
      <c r="C19" s="12" t="inlineStr"/>
      <c r="D19" s="12" t="inlineStr"/>
      <c r="E19" s="19" t="n">
        <v>0.602</v>
      </c>
      <c r="F19" s="20">
        <f>IF(OR(C19="",D19=""),"",IF(AND(ISNUMBER(C19),ISNUMBER(D19),ISNUMBER(E19)),C19*D19*E19/1000,""))</f>
        <v/>
      </c>
      <c r="H19" s="21" t="inlineStr"/>
    </row>
    <row r="20">
      <c r="A20" s="11" t="inlineStr">
        <is>
          <t>[EN] Distribución interna (tren)</t>
        </is>
      </c>
      <c r="B20" s="12" t="inlineStr">
        <is>
          <t>[EN] Tren</t>
        </is>
      </c>
      <c r="C20" s="12" t="inlineStr"/>
      <c r="D20" s="12" t="inlineStr"/>
      <c r="E20" s="19" t="n">
        <v>0.022</v>
      </c>
      <c r="F20" s="20">
        <f>IF(OR(C20="",D20=""),"",IF(AND(ISNUMBER(C20),ISNUMBER(D20),ISNUMBER(E20)),C20*D20*E20/1000,""))</f>
        <v/>
      </c>
      <c r="H20" s="21" t="inlineStr"/>
    </row>
    <row r="21">
      <c r="A21" s="11" t="inlineStr">
        <is>
          <t>[EN] Otro tramo</t>
        </is>
      </c>
      <c r="B21" s="12" t="inlineStr"/>
      <c r="C21" s="12" t="inlineStr"/>
      <c r="D21" s="12" t="inlineStr"/>
      <c r="E21" s="19" t="inlineStr"/>
      <c r="F21" s="20">
        <f>IF(OR(C21="",D21=""),"",IF(AND(ISNUMBER(C21),ISNUMBER(D21),ISNUMBER(E21)),C21*D21*E21/1000,""))</f>
        <v/>
      </c>
      <c r="H21" s="21" t="inlineStr"/>
    </row>
    <row r="22">
      <c r="A22" s="22" t="inlineStr">
        <is>
          <t>TOTAL Cat. 4 (tCO2e)</t>
        </is>
      </c>
      <c r="F22" s="23">
        <f>SUM(F17:F21)</f>
        <v/>
      </c>
    </row>
    <row r="23"/>
    <row r="24">
      <c r="A24" s="8" t="inlineStr">
        <is>
          <t>CAT. 6 — VIAJES DE NEGOCIO</t>
        </is>
      </c>
      <c r="B24" s="9" t="n"/>
      <c r="C24" s="9" t="n"/>
      <c r="D24" s="9" t="n"/>
      <c r="E24" s="9" t="n"/>
      <c r="F24" s="9" t="n"/>
      <c r="G24" s="9" t="n"/>
      <c r="H24" s="10" t="n"/>
    </row>
    <row r="25">
      <c r="A25" s="18" t="inlineStr">
        <is>
          <t>[EN] Tipo de viaje</t>
        </is>
      </c>
      <c r="B25" s="18" t="inlineStr">
        <is>
          <t>[EN] Modo</t>
        </is>
      </c>
      <c r="C25" s="18" t="inlineStr">
        <is>
          <t>[EN] N° de viajes</t>
        </is>
      </c>
      <c r="D25" s="18" t="inlineStr">
        <is>
          <t>[EN] Km promedio</t>
        </is>
      </c>
      <c r="E25" s="18" t="inlineStr">
        <is>
          <t>[EN] Factor (kgCO2e/pax-km)</t>
        </is>
      </c>
      <c r="F25" s="18" t="inlineStr">
        <is>
          <t>[EN] tCO2e</t>
        </is>
      </c>
      <c r="G25" s="18" t="inlineStr"/>
      <c r="H25" s="18" t="inlineStr">
        <is>
          <t>[EN] Notas</t>
        </is>
      </c>
    </row>
    <row r="26">
      <c r="A26" s="11" t="inlineStr">
        <is>
          <t>[EN] Vuelos nacionales / regionales</t>
        </is>
      </c>
      <c r="B26" s="12" t="inlineStr">
        <is>
          <t>[EN] Avión corto</t>
        </is>
      </c>
      <c r="C26" s="12" t="inlineStr"/>
      <c r="D26" s="12" t="inlineStr"/>
      <c r="E26" s="19" t="n">
        <v>0.255</v>
      </c>
      <c r="F26" s="20">
        <f>IF(OR(C26="",D26=""),"",IF(AND(ISNUMBER(C26),ISNUMBER(D26),ISNUMBER(E26)),C26*D26*E26/1000,""))</f>
        <v/>
      </c>
      <c r="H26" s="21" t="inlineStr"/>
    </row>
    <row r="27">
      <c r="A27" s="11" t="inlineStr">
        <is>
          <t>[EN] Vuelos internacionales</t>
        </is>
      </c>
      <c r="B27" s="12" t="inlineStr">
        <is>
          <t>[EN] Avión largo</t>
        </is>
      </c>
      <c r="C27" s="12" t="inlineStr"/>
      <c r="D27" s="12" t="inlineStr"/>
      <c r="E27" s="19" t="n">
        <v>0.195</v>
      </c>
      <c r="F27" s="20">
        <f>IF(OR(C27="",D27=""),"",IF(AND(ISNUMBER(C27),ISNUMBER(D27),ISNUMBER(E27)),C27*D27*E27/1000,""))</f>
        <v/>
      </c>
      <c r="H27" s="21" t="inlineStr"/>
    </row>
    <row r="28">
      <c r="A28" s="11" t="inlineStr">
        <is>
          <t>[EN] Viajes en auto / remis</t>
        </is>
      </c>
      <c r="B28" s="12" t="inlineStr">
        <is>
          <t>[EN] Auto</t>
        </is>
      </c>
      <c r="C28" s="12" t="inlineStr"/>
      <c r="D28" s="12" t="inlineStr"/>
      <c r="E28" s="19" t="n">
        <v>0.171</v>
      </c>
      <c r="F28" s="20">
        <f>IF(OR(C28="",D28=""),"",IF(AND(ISNUMBER(C28),ISNUMBER(D28),ISNUMBER(E28)),C28*D28*E28/1000,""))</f>
        <v/>
      </c>
      <c r="H28" s="21" t="inlineStr"/>
    </row>
    <row r="29">
      <c r="A29" s="11" t="inlineStr">
        <is>
          <t>[EN] Viajes en bus</t>
        </is>
      </c>
      <c r="B29" s="12" t="inlineStr">
        <is>
          <t>[EN] Bus</t>
        </is>
      </c>
      <c r="C29" s="12" t="inlineStr"/>
      <c r="D29" s="12" t="inlineStr"/>
      <c r="E29" s="19" t="n">
        <v>0.027</v>
      </c>
      <c r="F29" s="20">
        <f>IF(OR(C29="",D29=""),"",IF(AND(ISNUMBER(C29),ISNUMBER(D29),ISNUMBER(E29)),C29*D29*E29/1000,""))</f>
        <v/>
      </c>
      <c r="H29" s="21" t="inlineStr"/>
    </row>
    <row r="30">
      <c r="A30" s="11" t="inlineStr">
        <is>
          <t>[EN] Viajes en tren</t>
        </is>
      </c>
      <c r="B30" s="12" t="inlineStr">
        <is>
          <t>[EN] Tren</t>
        </is>
      </c>
      <c r="C30" s="12" t="inlineStr"/>
      <c r="D30" s="12" t="inlineStr"/>
      <c r="E30" s="19" t="n">
        <v>0.041</v>
      </c>
      <c r="F30" s="20">
        <f>IF(OR(C30="",D30=""),"",IF(AND(ISNUMBER(C30),ISNUMBER(D30),ISNUMBER(E30)),C30*D30*E30/1000,""))</f>
        <v/>
      </c>
      <c r="H30" s="21" t="inlineStr"/>
    </row>
    <row r="31">
      <c r="A31" s="22" t="inlineStr">
        <is>
          <t>TOTAL Cat. 6 (tCO2e)</t>
        </is>
      </c>
      <c r="F31" s="23">
        <f>SUM(F26:F30)</f>
        <v/>
      </c>
    </row>
    <row r="32"/>
    <row r="33">
      <c r="A33" s="8" t="inlineStr">
        <is>
          <t>CAT. 7 — TRANSPORTE DE EMPLEADOS (commuting)  |  220 días laborales, 25 km/día promedio</t>
        </is>
      </c>
      <c r="B33" s="9" t="n"/>
      <c r="C33" s="9" t="n"/>
      <c r="D33" s="9" t="n"/>
      <c r="E33" s="9" t="n"/>
      <c r="F33" s="9" t="n"/>
      <c r="G33" s="9" t="n"/>
      <c r="H33" s="10" t="n"/>
    </row>
    <row r="34">
      <c r="A34" s="18" t="inlineStr">
        <is>
          <t>[EN] Modo de transporte</t>
        </is>
      </c>
      <c r="B34" s="18" t="inlineStr">
        <is>
          <t>[EN] % empleados
(completar)</t>
        </is>
      </c>
      <c r="C34" s="18" t="inlineStr">
        <is>
          <t>[EN] Empleados (calc.)</t>
        </is>
      </c>
      <c r="D34" s="18" t="inlineStr">
        <is>
          <t>[EN] km/día</t>
        </is>
      </c>
      <c r="E34" s="18" t="inlineStr">
        <is>
          <t>[EN] Días/año</t>
        </is>
      </c>
      <c r="F34" s="18" t="inlineStr">
        <is>
          <t>[EN] Factor (kgCO2e/km)</t>
        </is>
      </c>
      <c r="G34" s="18" t="inlineStr">
        <is>
          <t>[EN] tCO2e</t>
        </is>
      </c>
      <c r="H34" s="18" t="inlineStr">
        <is>
          <t>[EN] Notas</t>
        </is>
      </c>
    </row>
    <row r="35">
      <c r="A35" s="11" t="inlineStr">
        <is>
          <t>[EN] Auto solo</t>
        </is>
      </c>
      <c r="B35" s="28" t="inlineStr"/>
      <c r="C35" s="20">
        <f>IF(ISNUMBER(B35),B35*EMPRESA!B8,"")</f>
        <v/>
      </c>
      <c r="D35" s="19" t="n">
        <v>25</v>
      </c>
      <c r="E35" s="19" t="n">
        <v>220</v>
      </c>
      <c r="F35" s="19" t="n">
        <v>0.171</v>
      </c>
      <c r="G35" s="20">
        <f>IF(C35="","",IF(ISNUMBER(C35),C35*D35*E35*F35/1000,""))</f>
        <v/>
      </c>
      <c r="H35" s="21" t="inlineStr"/>
    </row>
    <row r="36">
      <c r="A36" s="11" t="inlineStr">
        <is>
          <t>[EN] Auto compartido (2)</t>
        </is>
      </c>
      <c r="B36" s="28" t="inlineStr"/>
      <c r="C36" s="20">
        <f>IF(ISNUMBER(B36),B36*EMPRESA!B8,"")</f>
        <v/>
      </c>
      <c r="D36" s="19" t="n">
        <v>25</v>
      </c>
      <c r="E36" s="19" t="n">
        <v>220</v>
      </c>
      <c r="F36" s="19" t="n">
        <v>0.08500000000000001</v>
      </c>
      <c r="G36" s="20">
        <f>IF(C36="","",IF(ISNUMBER(C36),C36*D36*E36*F36/1000,""))</f>
        <v/>
      </c>
      <c r="H36" s="21" t="inlineStr"/>
    </row>
    <row r="37">
      <c r="A37" s="11" t="inlineStr">
        <is>
          <t>[EN] Colectivo / bus</t>
        </is>
      </c>
      <c r="B37" s="28" t="inlineStr"/>
      <c r="C37" s="20">
        <f>IF(ISNUMBER(B37),B37*EMPRESA!B8,"")</f>
        <v/>
      </c>
      <c r="D37" s="19" t="n">
        <v>25</v>
      </c>
      <c r="E37" s="19" t="n">
        <v>220</v>
      </c>
      <c r="F37" s="19" t="n">
        <v>0.027</v>
      </c>
      <c r="G37" s="20">
        <f>IF(C37="","",IF(ISNUMBER(C37),C37*D37*E37*F37/1000,""))</f>
        <v/>
      </c>
      <c r="H37" s="21" t="inlineStr"/>
    </row>
    <row r="38">
      <c r="A38" s="11" t="inlineStr">
        <is>
          <t>[EN] Subte / metro</t>
        </is>
      </c>
      <c r="B38" s="28" t="inlineStr"/>
      <c r="C38" s="20">
        <f>IF(ISNUMBER(B38),B38*EMPRESA!B8,"")</f>
        <v/>
      </c>
      <c r="D38" s="19" t="n">
        <v>25</v>
      </c>
      <c r="E38" s="19" t="n">
        <v>220</v>
      </c>
      <c r="F38" s="19" t="n">
        <v>0.011</v>
      </c>
      <c r="G38" s="20">
        <f>IF(C38="","",IF(ISNUMBER(C38),C38*D38*E38*F38/1000,""))</f>
        <v/>
      </c>
      <c r="H38" s="21" t="inlineStr"/>
    </row>
    <row r="39">
      <c r="A39" s="11" t="inlineStr">
        <is>
          <t>[EN] Moto</t>
        </is>
      </c>
      <c r="B39" s="28" t="inlineStr"/>
      <c r="C39" s="20">
        <f>IF(ISNUMBER(B39),B39*EMPRESA!B8,"")</f>
        <v/>
      </c>
      <c r="D39" s="19" t="n">
        <v>25</v>
      </c>
      <c r="E39" s="19" t="n">
        <v>220</v>
      </c>
      <c r="F39" s="19" t="n">
        <v>0.103</v>
      </c>
      <c r="G39" s="20">
        <f>IF(C39="","",IF(ISNUMBER(C39),C39*D39*E39*F39/1000,""))</f>
        <v/>
      </c>
      <c r="H39" s="21" t="inlineStr"/>
    </row>
    <row r="40">
      <c r="A40" s="11" t="inlineStr">
        <is>
          <t>[EN] Bicicleta</t>
        </is>
      </c>
      <c r="B40" s="28" t="inlineStr"/>
      <c r="C40" s="20">
        <f>IF(ISNUMBER(B40),B40*EMPRESA!B8,"")</f>
        <v/>
      </c>
      <c r="D40" s="19" t="n">
        <v>25</v>
      </c>
      <c r="E40" s="19" t="n">
        <v>220</v>
      </c>
      <c r="F40" s="19" t="n">
        <v>0</v>
      </c>
      <c r="G40" s="20">
        <f>IF(C40="","",IF(ISNUMBER(C40),C40*D40*E40*F40/1000,""))</f>
        <v/>
      </c>
      <c r="H40" s="21" t="inlineStr"/>
    </row>
    <row r="41">
      <c r="A41" s="11" t="inlineStr">
        <is>
          <t>[EN] Caminando</t>
        </is>
      </c>
      <c r="B41" s="28" t="inlineStr"/>
      <c r="C41" s="20">
        <f>IF(ISNUMBER(B41),B41*EMPRESA!B8,"")</f>
        <v/>
      </c>
      <c r="D41" s="19" t="n">
        <v>25</v>
      </c>
      <c r="E41" s="19" t="n">
        <v>220</v>
      </c>
      <c r="F41" s="19" t="n">
        <v>0</v>
      </c>
      <c r="G41" s="20">
        <f>IF(C41="","",IF(ISNUMBER(C41),C41*D41*E41*F41/1000,""))</f>
        <v/>
      </c>
      <c r="H41" s="21" t="inlineStr"/>
    </row>
    <row r="42">
      <c r="A42" s="11" t="inlineStr">
        <is>
          <t>[EN] Home office (no viaja)</t>
        </is>
      </c>
      <c r="B42" s="28" t="inlineStr"/>
      <c r="C42" s="20">
        <f>IF(ISNUMBER(B42),B42*EMPRESA!B8,"")</f>
        <v/>
      </c>
      <c r="D42" s="19" t="n">
        <v>0</v>
      </c>
      <c r="E42" s="19" t="n">
        <v>0</v>
      </c>
      <c r="F42" s="19" t="n">
        <v>0</v>
      </c>
      <c r="G42" s="20">
        <f>IF(C42="","",IF(ISNUMBER(C42),C42*D42*E42*F42/1000,""))</f>
        <v/>
      </c>
      <c r="H42" s="21" t="inlineStr"/>
    </row>
    <row r="43">
      <c r="A43" s="22" t="inlineStr">
        <is>
          <t>TOTAL Cat. 7 (tCO2e)</t>
        </is>
      </c>
      <c r="G43" s="23">
        <f>SUM(G35:G42)</f>
        <v/>
      </c>
    </row>
    <row r="44"/>
    <row r="45">
      <c r="A45" s="24" t="inlineStr">
        <is>
          <t>TOTAL SCOPE 3 (tCO2e)</t>
        </is>
      </c>
      <c r="D45" s="25">
        <f>D13+F22+F31+G43</f>
        <v/>
      </c>
    </row>
  </sheetData>
  <mergeCells count="10">
    <mergeCell ref="A13:C13"/>
    <mergeCell ref="A15:H15"/>
    <mergeCell ref="A45:C45"/>
    <mergeCell ref="A24:H24"/>
    <mergeCell ref="A2:H2"/>
    <mergeCell ref="A33:H33"/>
    <mergeCell ref="A1:H1"/>
    <mergeCell ref="A22:E22"/>
    <mergeCell ref="A31:E31"/>
    <mergeCell ref="A43:F4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0" customWidth="1" min="3" max="3"/>
    <col width="20" customWidth="1" min="4" max="4"/>
    <col width="30" customWidth="1" min="5" max="5"/>
  </cols>
  <sheetData>
    <row r="1" ht="35" customHeight="1">
      <c r="A1" s="6" t="inlineStr">
        <is>
          <t>INVENTARIO GHG — RESULTADOS CONSOLIDADOS</t>
        </is>
      </c>
    </row>
    <row r="2">
      <c r="A2" s="29" t="inlineStr">
        <is>
          <t>NO MODIFICAR ESTA HOJA — los datos vienen automáticamente de las hojas anteriores</t>
        </is>
      </c>
    </row>
    <row r="3"/>
    <row r="4">
      <c r="A4" s="8" t="inlineStr">
        <is>
          <t>DATOS DE LA EMPRESA</t>
        </is>
      </c>
      <c r="B4" s="9" t="n"/>
      <c r="C4" s="9" t="n"/>
      <c r="D4" s="9" t="n"/>
      <c r="E4" s="10" t="n"/>
    </row>
    <row r="5">
      <c r="A5" s="11" t="inlineStr">
        <is>
          <t>[EN] Empresa</t>
        </is>
      </c>
      <c r="B5" s="30">
        <f>EMPRESA!B4</f>
        <v/>
      </c>
    </row>
    <row r="6">
      <c r="A6" s="11" t="inlineStr">
        <is>
          <t>[EN] País</t>
        </is>
      </c>
      <c r="B6" s="30">
        <f>EMPRESA!B5</f>
        <v/>
      </c>
    </row>
    <row r="7">
      <c r="A7" s="11" t="inlineStr">
        <is>
          <t>[EN] Año</t>
        </is>
      </c>
      <c r="B7" s="30">
        <f>EMPRESA!B6</f>
        <v/>
      </c>
    </row>
    <row r="8">
      <c r="A8" s="11" t="inlineStr">
        <is>
          <t>[EN] Empleados</t>
        </is>
      </c>
      <c r="B8" s="30">
        <f>EMPRESA!B8</f>
        <v/>
      </c>
    </row>
    <row r="9">
      <c r="A9" s="11" t="inlineStr">
        <is>
          <t>[EN] Revenue (USD)</t>
        </is>
      </c>
      <c r="B9" s="30">
        <f>EMPRESA!B9</f>
        <v/>
      </c>
    </row>
    <row r="10">
      <c r="A10" s="11" t="inlineStr">
        <is>
          <t>[EN] Sector</t>
        </is>
      </c>
      <c r="B10" s="30">
        <f>EMPRESA!B13</f>
        <v/>
      </c>
    </row>
    <row r="11"/>
    <row r="12">
      <c r="A12" s="8" t="inlineStr">
        <is>
          <t>INVENTARIO GHG COMPLETO</t>
        </is>
      </c>
      <c r="B12" s="9" t="n"/>
      <c r="C12" s="9" t="n"/>
      <c r="D12" s="9" t="n"/>
      <c r="E12" s="10" t="n"/>
    </row>
    <row r="13">
      <c r="A13" s="18" t="inlineStr">
        <is>
          <t>[EN] Categoría</t>
        </is>
      </c>
      <c r="B13" s="18" t="inlineStr">
        <is>
          <t>[EN] tCO2e</t>
        </is>
      </c>
      <c r="C13" s="18" t="inlineStr">
        <is>
          <t>[EN] % del total</t>
        </is>
      </c>
      <c r="D13" s="18" t="inlineStr">
        <is>
          <t>[EN] Método</t>
        </is>
      </c>
      <c r="E13" s="18" t="inlineStr">
        <is>
          <t>[EN] Fuente datos</t>
        </is>
      </c>
    </row>
    <row r="14">
      <c r="A14" s="11" t="inlineStr">
        <is>
          <t>[EN] Scope 1 — Combustibles</t>
        </is>
      </c>
      <c r="B14" s="31">
        <f>SCOPE_1!F18</f>
        <v/>
      </c>
      <c r="C14" s="32">
        <f>IF(B14="","",IF(B21&gt;0,B14/B21,""))</f>
        <v/>
      </c>
      <c r="D14" s="33" t="inlineStr">
        <is>
          <t>[EN] Tier 2 IPCC AR6</t>
        </is>
      </c>
      <c r="E14" s="33" t="inlineStr">
        <is>
          <t>[EN] Facturas / registros de consumo</t>
        </is>
      </c>
    </row>
    <row r="15">
      <c r="A15" s="11" t="inlineStr">
        <is>
          <t>[EN] Scope 1 — Refrigerantes</t>
        </is>
      </c>
      <c r="B15" s="31">
        <f>SCOPE_1!F26</f>
        <v/>
      </c>
      <c r="C15" s="32">
        <f>IF(B15="","",IF(B21&gt;0,B15/B21,""))</f>
        <v/>
      </c>
      <c r="D15" s="33" t="inlineStr">
        <is>
          <t>[EN] GWP IPCC AR6</t>
        </is>
      </c>
      <c r="E15" s="33" t="inlineStr">
        <is>
          <t>[EN] Registros de recarga</t>
        </is>
      </c>
    </row>
    <row r="16">
      <c r="A16" s="34" t="inlineStr">
        <is>
          <t>[EN] Scope 2 — Electricidad</t>
        </is>
      </c>
      <c r="B16" s="35">
        <f>SCOPE_2!F21</f>
        <v/>
      </c>
      <c r="C16" s="36">
        <f>IF(B16="","",IF(B21&gt;0,B16/B21,""))</f>
        <v/>
      </c>
      <c r="D16" s="33" t="inlineStr">
        <is>
          <t>[EN] Location-based IEA</t>
        </is>
      </c>
      <c r="E16" s="33" t="inlineStr">
        <is>
          <t>[EN] Facturas eléctricas</t>
        </is>
      </c>
    </row>
    <row r="17">
      <c r="A17" s="37" t="inlineStr">
        <is>
          <t>[EN] Scope 3 Cat.1 — Proveedores</t>
        </is>
      </c>
      <c r="B17" s="38">
        <f>SCOPE_3!D13</f>
        <v/>
      </c>
      <c r="C17" s="39">
        <f>IF(B17="","",IF(B21&gt;0,B17/B21,""))</f>
        <v/>
      </c>
      <c r="D17" s="33" t="inlineStr">
        <is>
          <t>[EN] Spend-based EEIO</t>
        </is>
      </c>
      <c r="E17" s="33" t="inlineStr">
        <is>
          <t>[EN] Sistema contable</t>
        </is>
      </c>
    </row>
    <row r="18">
      <c r="A18" s="37" t="inlineStr">
        <is>
          <t>[EN] Scope 3 Cat.4 — Flete</t>
        </is>
      </c>
      <c r="B18" s="38">
        <f>SCOPE_3!F22</f>
        <v/>
      </c>
      <c r="C18" s="39">
        <f>IF(B18="","",IF(B21&gt;0,B18/B21,""))</f>
        <v/>
      </c>
      <c r="D18" s="33" t="inlineStr">
        <is>
          <t>[EN] GLEC Framework v3</t>
        </is>
      </c>
      <c r="E18" s="33" t="inlineStr">
        <is>
          <t>[EN] Registros de transporte</t>
        </is>
      </c>
    </row>
    <row r="19">
      <c r="A19" s="37" t="inlineStr">
        <is>
          <t>[EN] Scope 3 Cat.6 — Viajes</t>
        </is>
      </c>
      <c r="B19" s="38">
        <f>SCOPE_3!F31</f>
        <v/>
      </c>
      <c r="C19" s="39">
        <f>IF(B19="","",IF(B21&gt;0,B19/B21,""))</f>
        <v/>
      </c>
      <c r="D19" s="33" t="inlineStr">
        <is>
          <t>[EN] DEFRA 2023</t>
        </is>
      </c>
      <c r="E19" s="33" t="inlineStr">
        <is>
          <t>[EN] Sistema HR / gastos</t>
        </is>
      </c>
    </row>
    <row r="20">
      <c r="A20" s="37" t="inlineStr">
        <is>
          <t>[EN] Scope 3 Cat.7 — Commuting</t>
        </is>
      </c>
      <c r="B20" s="38">
        <f>SCOPE_3!G43</f>
        <v/>
      </c>
      <c r="C20" s="39">
        <f>IF(B20="","",IF(B21&gt;0,B20/B21,""))</f>
        <v/>
      </c>
      <c r="D20" s="33" t="inlineStr">
        <is>
          <t>[EN] DEFRA 2023</t>
        </is>
      </c>
      <c r="E20" s="33" t="inlineStr">
        <is>
          <t>[EN] Encuesta empleados</t>
        </is>
      </c>
    </row>
    <row r="21">
      <c r="A21" s="40" t="inlineStr">
        <is>
          <t>TOTAL GENERAL (tCO2e)</t>
        </is>
      </c>
      <c r="B21" s="41">
        <f>SUM(B14:B20)</f>
        <v/>
      </c>
    </row>
    <row r="22">
      <c r="A22" s="42" t="inlineStr">
        <is>
          <t>Total Scope 1 (tCO2e)</t>
        </is>
      </c>
      <c r="B22" s="43">
        <f>B14+B15</f>
        <v/>
      </c>
    </row>
    <row r="23">
      <c r="A23" s="44" t="inlineStr">
        <is>
          <t>Total Scope 2 (tCO2e)</t>
        </is>
      </c>
      <c r="B23" s="45">
        <f>B16</f>
        <v/>
      </c>
    </row>
    <row r="24">
      <c r="A24" s="46" t="inlineStr">
        <is>
          <t>Total Scope 3 (tCO2e)</t>
        </is>
      </c>
      <c r="B24" s="47">
        <f>SUM(B17:B20)</f>
        <v/>
      </c>
    </row>
    <row r="25"/>
    <row r="26">
      <c r="A26" s="8" t="inlineStr">
        <is>
          <t>INDICADORES DE INTENSIDAD</t>
        </is>
      </c>
      <c r="B26" s="9" t="n"/>
      <c r="C26" s="9" t="n"/>
      <c r="D26" s="9" t="n"/>
      <c r="E26" s="10" t="n"/>
    </row>
    <row r="27">
      <c r="A27" s="18" t="inlineStr">
        <is>
          <t>[EN] Indicador</t>
        </is>
      </c>
      <c r="B27" s="18" t="inlineStr">
        <is>
          <t>[EN] Valor</t>
        </is>
      </c>
      <c r="C27" s="18" t="inlineStr">
        <is>
          <t>[EN] Unidad</t>
        </is>
      </c>
      <c r="D27" s="18" t="inlineStr"/>
      <c r="E27" s="18" t="inlineStr"/>
    </row>
    <row r="28">
      <c r="A28" s="11" t="inlineStr">
        <is>
          <t>[EN] Emisiones por empleado</t>
        </is>
      </c>
      <c r="B28" s="48">
        <f>IF(AND(ISNUMBER(B21),ISNUMBER(EMPRESA!B8)),B21/EMPRESA!B8,"")</f>
        <v/>
      </c>
      <c r="C28" s="49" t="inlineStr">
        <is>
          <t>[EN] tCO2e / empleado</t>
        </is>
      </c>
    </row>
    <row r="29">
      <c r="A29" s="11" t="inlineStr">
        <is>
          <t>[EN] Emisiones por USD 1M revenue</t>
        </is>
      </c>
      <c r="B29" s="48">
        <f>IF(AND(ISNUMBER(B21),ISNUMBER(EMPRESA!B9)),B21/(EMPRESA!B9/1000000),"")</f>
        <v/>
      </c>
      <c r="C29" s="49" t="inlineStr">
        <is>
          <t>[EN] tCO2e / USD 1M</t>
        </is>
      </c>
    </row>
    <row r="30">
      <c r="A30" s="11" t="inlineStr">
        <is>
          <t>[EN] % Scope 3 del total</t>
        </is>
      </c>
      <c r="B30" s="50">
        <f>IF(AND(ISNUMBER(B24),ISNUMBER(B21)),B24/B21,"")</f>
        <v/>
      </c>
      <c r="C30" s="49" t="inlineStr">
        <is>
          <t>[EN] %</t>
        </is>
      </c>
    </row>
    <row r="31">
      <c r="A31" s="11" t="inlineStr">
        <is>
          <t>[EN] % Scope 1+2 del total</t>
        </is>
      </c>
      <c r="B31" s="50">
        <f>IF(AND(ISNUMBER(B22),ISNUMBER(B23),ISNUMBER(B21)),(B22+B23)/B21,"")</f>
        <v/>
      </c>
      <c r="C31" s="49" t="inlineStr">
        <is>
          <t>[EN] %</t>
        </is>
      </c>
    </row>
  </sheetData>
  <mergeCells count="9">
    <mergeCell ref="A12:E12"/>
    <mergeCell ref="A4:E4"/>
    <mergeCell ref="A22"/>
    <mergeCell ref="A26:E26"/>
    <mergeCell ref="A2:E2"/>
    <mergeCell ref="A21"/>
    <mergeCell ref="A24"/>
    <mergeCell ref="A1:E1"/>
    <mergeCell ref="A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2026-03-20T22:07:54Z</dcterms:created>
  <dcterms:modified xmlns:dcterms="http://purl.org/dc/terms/" xmlns:xsi="http://www.w3.org/2001/XMLSchema-instance" xsi:type="dcterms:W3CDTF">2026-03-24T13:45:05Z</dcterms:modified>
</cp:coreProperties>
</file>